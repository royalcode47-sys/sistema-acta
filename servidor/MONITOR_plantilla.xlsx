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https://airesasesp-my.sharepoint.com/personal/apr_eadetecnologia5_air-e_com/Documents/Escritorio/"/>
    </mc:Choice>
  </mc:AlternateContent>
  <xr:revisionPtr revIDLastSave="1791" documentId="8_{54641009-C86A-4725-8FE4-5E3EE76687E3}" xr6:coauthVersionLast="47" xr6:coauthVersionMax="47" xr10:uidLastSave="{B5005E54-5713-4420-B2AD-92AFDE5A375A}"/>
  <bookViews>
    <workbookView minimized="1" xWindow="29520" yWindow="2340" windowWidth="21600" windowHeight="11295" xr2:uid="{00000000-000D-0000-FFFF-FFFF00000000}"/>
  </bookViews>
  <sheets>
    <sheet name="Entrega_Dev disp" sheetId="1" r:id="rId1"/>
    <sheet name="Clausulas" sheetId="4" r:id="rId2"/>
    <sheet name="Control de cambios" sheetId="6" state="hidden" r:id="rId3"/>
  </sheets>
  <definedNames>
    <definedName name="_xlnm.Print_Area" localSheetId="1">Clausulas!$A$1:$D$13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4" l="1"/>
  <c r="B5" i="4" l="1"/>
  <c r="E27" i="1" l="1"/>
  <c r="D12" i="4" s="1"/>
  <c r="D5" i="4"/>
</calcChain>
</file>

<file path=xl/sharedStrings.xml><?xml version="1.0" encoding="utf-8"?>
<sst xmlns="http://schemas.openxmlformats.org/spreadsheetml/2006/main" count="95" uniqueCount="82">
  <si>
    <r>
      <t>Entrega/ Devolución de equipo y/o dispositivo</t>
    </r>
    <r>
      <rPr>
        <sz val="16"/>
        <color theme="1"/>
        <rFont val="Verdana"/>
        <family val="2"/>
      </rPr>
      <t>.</t>
    </r>
  </si>
  <si>
    <t>Gestión a realizada</t>
  </si>
  <si>
    <t>No. de Ticket</t>
  </si>
  <si>
    <t>Entrega  de Equipos al usuario</t>
  </si>
  <si>
    <t>X</t>
  </si>
  <si>
    <t>Devolución de Equipos a Tecnología</t>
  </si>
  <si>
    <t>Activo entregado por</t>
  </si>
  <si>
    <t>Activo entregado a</t>
  </si>
  <si>
    <t>Ubicación</t>
  </si>
  <si>
    <t>Nombre</t>
  </si>
  <si>
    <t>Ciudad</t>
  </si>
  <si>
    <t>Cedula</t>
  </si>
  <si>
    <t>Sede</t>
  </si>
  <si>
    <t>Cargo</t>
  </si>
  <si>
    <t>Piso</t>
  </si>
  <si>
    <t>Empresa</t>
  </si>
  <si>
    <t>AIR-E</t>
  </si>
  <si>
    <t>Información de activos</t>
  </si>
  <si>
    <t>Tipo de activo</t>
  </si>
  <si>
    <t>Placa activo tecnológico</t>
  </si>
  <si>
    <t xml:space="preserve">Serial No. </t>
  </si>
  <si>
    <t>Modelo</t>
  </si>
  <si>
    <t>Marca</t>
  </si>
  <si>
    <t>Observaciones</t>
  </si>
  <si>
    <t>Si el activo  es un computador diligencie los siguientes campos</t>
  </si>
  <si>
    <t>Características Técnicas</t>
  </si>
  <si>
    <t>Fecha</t>
  </si>
  <si>
    <t>Firma de quien entrega</t>
  </si>
  <si>
    <t>Nombre del PC</t>
  </si>
  <si>
    <t>Procesador</t>
  </si>
  <si>
    <t>Memoria RAM</t>
  </si>
  <si>
    <t>Firma de quien recibe</t>
  </si>
  <si>
    <t>Disco duro</t>
  </si>
  <si>
    <t>Medios ópticos</t>
  </si>
  <si>
    <t>Monitor</t>
  </si>
  <si>
    <t>Notas:</t>
  </si>
  <si>
    <t>• Los equipos y/o dispositivos son de uso personal e intransferible. 
• El colaborador que recibe el o los equipos y/o dispositivos asignados, es responsable de su custodia, uso, estado y cuidado.
• Se expedirá un paz y salvo cuando los equipos sean devueltos por el usuario a conformidad de cantidad y estado acorde a como le fueron entregados.
• Debe dejarse constancia del estado y la entrega/devolución de los equipos y/o dispositivos en el momento de ejecutar cualquiera de las actividades antes descritas.</t>
  </si>
  <si>
    <t>GT.TT.PR.05-FO.01</t>
  </si>
  <si>
    <t>Ed.03</t>
  </si>
  <si>
    <t>ACTA DE ENTREGA</t>
  </si>
  <si>
    <t>HERRAMIENTA DE TRABAJO</t>
  </si>
  <si>
    <t>INFORMATICA Y/O DE TELECOMUNICACIONES</t>
  </si>
  <si>
    <t xml:space="preserve">2.        E TRABAJADOR se obliga a cumplir con lo previsto en los Instructivos (manuales) de uso fijados por la Empresa, incluyendo aquellos que vienen junto con la herramienta de trabajo entregada; que declara conocer y entender íntegramente, junto con todas las instrucciones específicas que El EMPLEADOR le imparta para el uso adecuado y debido de herramientas de trabajo.
3.        El TRABAJADOR se compromete a entregar las herramientas de trabajo para verificación de El EMPLEADOR en cualquier momento que así lo requiera El EMPLEADOR, para efectos de corroborar el cumplimiento de las obligaciones laborales en el manejo de las herramientas de trabajo suministradas. 
4.        El TRABAJADOR se obliga a velar por el uso adecuado de las herramientas de trabajo, entregadas y a prestar el debido cuidado y diligencia en todo momento, para evitar daños o perjuicios en las mismas, a fin de que en todo momento puedan estar en disposición de las funciones encomendadas.
5.        El TRABAJADOR se obliga a velar por la seguridad de las herramientas de trabajo relacionadas según las indicaciones dadas por El EMPLEADOR. 
6.        El TRABAJADOR se obliga a informar de forma oportuna a sus superiores cualquier situación particular que se pueda presentar frente a las herramientas de trabajo entregadas. 
7.        El TRABAJADOR se obliga a adoptar todas las medidas necesarias y previsibles para asegurar que sin excepción alguna siempre tenga disponible y, en óptimas condiciones de funcionamiento, los elementos objeto del presente documento, con el fin de que pueda ejecutar las funciones propias de su cargo.     
8.        El TRABAJADOR reconoce que en caso de que El TRABAJADOR sea trasladado ó promovido deberá devolver a la Gerencia de Infraestructura y Telecomunicaciones la(s) herramienta(s) de trabajo entregada junto con sus accesorios según sea el caso y con el desgaste natural de uso, siempre y cuando lo mismos no sean imputables al descuido y negligencia del trabajador. 
PARÁGRAFO. De conformidad con lo señalado en la presente cláusula, las partes de común acuerdo reconocen y aceptan que se considerará falta grave por parte del TRABAJADOR el incumplimiento de cualquiera de las obligaciones señaladas anteriormente, de conformidad con lo previsto en el numeral literal a) del artículo 7 del decreto 2351 de 1965, norma que subrogó el artículo 62 del Código Sustantivo del Trabajo.   </t>
  </si>
  <si>
    <t>GT.TT.PR.05-FO.01  Ed.03</t>
  </si>
  <si>
    <t>BARRANQUILLA</t>
  </si>
  <si>
    <t>Entrega/ Devolución de equipo y/o dispositivo.</t>
  </si>
  <si>
    <t>Histórico de revisiones</t>
  </si>
  <si>
    <t>Edición</t>
  </si>
  <si>
    <t>Fecha aprobación</t>
  </si>
  <si>
    <t>Motivo de la edición y/o resumen de cambios</t>
  </si>
  <si>
    <t>Creación del Documento</t>
  </si>
  <si>
    <t>Se anexan clausulado de acta de entrega de equipos y/o dispositivos de trabajo. Se anexa campo de fecha</t>
  </si>
  <si>
    <t>ELABORACIÓN</t>
  </si>
  <si>
    <t>REVISIÓN Y APROBACION</t>
  </si>
  <si>
    <t>Luis Esteban Guerra</t>
  </si>
  <si>
    <t>Gerencia Infraestructura y Telecomunicaciones</t>
  </si>
  <si>
    <t>Isabel Bula Fábregas</t>
  </si>
  <si>
    <t>Viviana Medina</t>
  </si>
  <si>
    <t>Gobierno TI</t>
  </si>
  <si>
    <t>Gerencia Capital Humano</t>
  </si>
  <si>
    <t>APRENDIZ</t>
  </si>
  <si>
    <t>ASIGNACION</t>
  </si>
  <si>
    <t>DEVOLUCION</t>
  </si>
  <si>
    <t xml:space="preserve"> CLÁUSULA SEGUNDA: Dado que la Empresa ha suministrado al TRABAJADOR los equipos / activos informáticos descritos en la CLAUSULA PRIMERA del presente acuerdo para realizar su trabajo y cumplir de manera adecuada y correcta con sus funciones, el TRABAJADOR adquiere la obligación de solo utilizar los softwares que le suministra AIR-E en el desarrollo y ejecución de sus funciones. Dadas las implicaciones que existen por la utilización de software sin licencia, AIR-E le prohíbe enfáticamente al TRABAJADOR la utilización de cualquier software sin licencia, por lo tanto, en el evento que esto suceda constituye un acto propio y exclusivo del TRABAJADOR quien asume expresamente las consecuencias civiles, comerciales y penales que el incumplimiento de tal prohibición acarree, exonerando a AIR-E de cualquier responsabilidad al respecto. El incumplimiento de esta obligación y prohibición se califica como falta grave, sin perjuicio de las demás responsabilidades legales y/o extralegales que se deriven para el TRABAJADOR, respecto de las cuales deberá responder exclusivamente.
CLÁUSULA TERCERA: Las partes acuerdan que es obligación del TRABAJADOR hacer un uso adecuado y acorde con las funciones que desempeña este en la compañía del servicio de internet al que accede dada su condición de TRABAJADOR de AIR-E, razón por la cual cualquier acceso a páginas, blocks y/o sitios web NO AUTORIZADOS por AIR-E se tendrá como un uso no autorizado de dicho servicio.
CLÁUSULA CUARTA: Las partes aceptan y reconocen que los activos descritos en la CLAUSULA PRIMERA se consideran para todos los efectos Herramientas de Trabajo suministradas por AIR-E al TRABAJADOR con el fin que sean utilizados por este única y exclusivamente en la ejecución y/o desarrollo de las funciones propias del cargo que en la actualidad desempeña en la compañía.
CLÁUSULA QUINTA: Así mismo, autorizo a AIR-E a descontar por nómina de mi salario o de mis demás ingresos mensuales, los valores que cubran el monto de los daños del equipo y/o de los demás elementos relacionados, en caso de que se presente deterioro imputable al mal uso de los mismos, y a descontar el valor comercial del equipo y/o elementos relacionados en la presente acta en caso de pérdida de éstos, siempre que la pérdida no sea atribuible exclusivamente a un caso de fuerza mayor. 
Así mismo, el trabajador expresamente autoriza para que, en caso de terminación de su contrato de trabajo, la Empresa pueda descontar de la liquidación final de acreencias laborales y cualquier suma a la que tenga derecho, el valor que se encuentre pendiente de pagar por parte del trabajador.
CLÁUSULA SEXTA: Los activos aquí descritos, son propiedad de AIR-E, y por tal razón podrán ser inspeccionados y/o auditados en cualquier momento por la compañía sin que ello signifique afectación de los derechos fundamentales del TRABAJADOR. Así mismo podrán ser retirados al TRABAJADOR, o este estar obligado a restituirlos cuando así se determine por parte de la Compañía y en todo caso, cuando se le designe en un nuevo cargo y/o funciones, que no requieran el uso de los activos descritos en el presente acuerdo o en caso de terminación por cualquier causa del vínculo laboral que en la actualidad existe, situación en la cual el TRABAJADOR está en la obligación de restituirlos en buen estado, salvo el deterioro natural de estos.
CLAÚSULA SÉPTIMA: Las partes entienden que, con la suscripción de la presente Acta, el TRABAJADOR adquiere las siguientes obligaciones laborales respecto a los elementos que se le entregan como herramientas de trabajo:   </t>
  </si>
  <si>
    <t>DANIEL JOSE BRICEÑO ARIZA</t>
  </si>
  <si>
    <t>TORRES DEL ATLANTICO SUR</t>
  </si>
  <si>
    <t>x</t>
  </si>
  <si>
    <t xml:space="preserve">OMAR ANDRES CADENA ANIBAL </t>
  </si>
  <si>
    <t>TECNICO JUNIOR DESARROLLO DE INVENTARIOS</t>
  </si>
  <si>
    <t xml:space="preserve">  PISO 7</t>
  </si>
  <si>
    <t>TECLADO</t>
  </si>
  <si>
    <t>1-5046047</t>
  </si>
  <si>
    <t>N/T</t>
  </si>
  <si>
    <t>XUE</t>
  </si>
  <si>
    <t>TM320</t>
  </si>
  <si>
    <t>MOUSE</t>
  </si>
  <si>
    <t>1-5047143</t>
  </si>
  <si>
    <t>KT509DEV</t>
  </si>
  <si>
    <t>LENOVO</t>
  </si>
  <si>
    <t>SKM1R65924</t>
  </si>
  <si>
    <t>KT509DEJ 510</t>
  </si>
  <si>
    <t>SKM1R66363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</si>
</sst>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27" x14ac:knownFonts="1">
    <font>
      <sz val="11"/>
      <color theme="1"/>
      <name val="Calibri"/>
      <family val="2"/>
      <scheme val="minor"/>
    </font>
    <font>
      <b/>
      <sz val="16"/>
      <color theme="1"/>
      <name val="Verdana"/>
      <family val="2"/>
    </font>
    <font>
      <sz val="16"/>
      <color theme="1"/>
      <name val="Verdana"/>
      <family val="2"/>
    </font>
    <font>
      <sz val="11"/>
      <color theme="1"/>
      <name val="Verdana"/>
      <family val="2"/>
    </font>
    <font>
      <b/>
      <sz val="11"/>
      <color theme="1"/>
      <name val="Verdana"/>
      <family val="2"/>
    </font>
    <font>
      <sz val="11"/>
      <name val="Verdana"/>
      <family val="2"/>
    </font>
    <font>
      <b/>
      <sz val="12"/>
      <color theme="1"/>
      <name val="Verdana"/>
      <family val="2"/>
    </font>
    <font>
      <sz val="10"/>
      <color theme="1"/>
      <name val="Verdana"/>
      <family val="2"/>
    </font>
    <font>
      <sz val="12"/>
      <name val="Verdana"/>
      <family val="2"/>
    </font>
    <font>
      <b/>
      <sz val="11"/>
      <name val="Verdana"/>
      <family val="2"/>
    </font>
    <font>
      <b/>
      <sz val="12"/>
      <color theme="1"/>
      <name val="Calibri"/>
      <family val="2"/>
      <scheme val="minor"/>
    </font>
    <font>
      <b/>
      <sz val="10"/>
      <color theme="1"/>
      <name val="Verdana"/>
      <family val="2"/>
    </font>
    <font>
      <sz val="10"/>
      <color rgb="FF000000"/>
      <name val="Verdana"/>
      <family val="2"/>
    </font>
    <font>
      <b/>
      <sz val="10"/>
      <color rgb="FF000000"/>
      <name val="Verdana"/>
      <family val="2"/>
    </font>
    <font>
      <b/>
      <sz val="8"/>
      <color theme="1"/>
      <name val="Calibri"/>
      <family val="2"/>
      <scheme val="minor"/>
    </font>
    <font>
      <sz val="8"/>
      <color theme="1"/>
      <name val="Calibri"/>
      <family val="2"/>
      <scheme val="minor"/>
    </font>
    <font>
      <b/>
      <sz val="8"/>
      <color theme="1"/>
      <name val="Calibri"/>
      <family val="2"/>
    </font>
    <font>
      <sz val="8"/>
      <name val="Calibri"/>
      <family val="2"/>
      <scheme val="minor"/>
    </font>
    <font>
      <sz val="7"/>
      <color theme="1"/>
      <name val="Verdana"/>
      <family val="2"/>
    </font>
    <font>
      <sz val="7"/>
      <color theme="1"/>
      <name val="Calibri"/>
      <family val="2"/>
      <scheme val="minor"/>
    </font>
    <font>
      <sz val="10"/>
      <name val="Arial"/>
      <family val="2"/>
    </font>
    <font>
      <b/>
      <sz val="11"/>
      <color rgb="FF000000"/>
      <name val="Verdana"/>
      <family val="2"/>
    </font>
    <font>
      <sz val="11"/>
      <color theme="1"/>
      <name val="Calibri"/>
      <family val="2"/>
      <scheme val="minor"/>
    </font>
    <font>
      <b/>
      <sz val="9"/>
      <color theme="1"/>
      <name val="Verdana"/>
      <family val="2"/>
    </font>
    <font>
      <b/>
      <sz val="12"/>
      <color rgb="FF000000"/>
      <name val="Verdana"/>
      <family val="2"/>
    </font>
    <font>
      <sz val="11"/>
      <color rgb="FF000000"/>
      <name val="Verdana"/>
      <family val="2"/>
    </font>
    <font>
      <b/>
      <sz val="9"/>
      <color rgb="FF000000"/>
      <name val="Verdana"/>
      <family val="2"/>
    </font>
  </fonts>
  <fills count="12">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3" tint="0.39997558519241921"/>
        <bgColor indexed="64"/>
      </patternFill>
    </fill>
    <fill>
      <patternFill patternType="solid">
        <fgColor rgb="FFBFBFBF"/>
        <bgColor indexed="64"/>
      </patternFill>
    </fill>
    <fill>
      <patternFill patternType="solid">
        <fgColor rgb="FFFFFFFF"/>
        <bgColor indexed="64"/>
      </patternFill>
    </fill>
    <fill>
      <patternFill patternType="solid">
        <fgColor rgb="FFD9D9D9"/>
        <bgColor indexed="64"/>
      </patternFill>
    </fill>
    <fill>
      <patternFill patternType="solid">
        <fgColor rgb="FFFFFFFF"/>
        <bgColor rgb="FF000000"/>
      </patternFill>
    </fill>
    <fill>
      <patternFill patternType="solid">
        <fgColor rgb="FFD9D9D9"/>
        <bgColor rgb="FF000000"/>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theme="0" tint="-0.499984740745262"/>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3">
    <xf numFmtId="0" fontId="0" fillId="0" borderId="0"/>
    <xf numFmtId="0" fontId="20" fillId="0" borderId="0"/>
    <xf numFmtId="164" fontId="22" fillId="0" borderId="0" applyFont="0" applyFill="0" applyBorder="0" applyAlignment="0" applyProtection="0"/>
  </cellStyleXfs>
  <cellXfs count="135">
    <xf numFmtId="0" fontId="0" fillId="0" borderId="0" xfId="0"/>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4" fillId="0" borderId="3" xfId="0" applyFont="1" applyBorder="1" applyAlignment="1">
      <alignment vertical="center" wrapText="1"/>
    </xf>
    <xf numFmtId="0" fontId="3" fillId="0" borderId="4" xfId="0" applyFont="1" applyBorder="1" applyAlignment="1">
      <alignment vertical="center" wrapText="1"/>
    </xf>
    <xf numFmtId="0" fontId="4" fillId="3" borderId="1" xfId="0" applyFont="1" applyFill="1" applyBorder="1" applyAlignment="1">
      <alignment horizontal="center" vertical="center" wrapText="1"/>
    </xf>
    <xf numFmtId="0" fontId="4" fillId="0" borderId="1" xfId="0" applyFont="1" applyBorder="1" applyAlignment="1">
      <alignment vertical="center" wrapText="1"/>
    </xf>
    <xf numFmtId="0" fontId="4" fillId="3"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8" fillId="0" borderId="0" xfId="0" applyFont="1" applyAlignment="1">
      <alignment horizontal="center" vertical="center" wrapText="1"/>
    </xf>
    <xf numFmtId="0" fontId="6" fillId="0" borderId="0" xfId="0" applyFont="1" applyAlignment="1">
      <alignment vertical="center" wrapText="1"/>
    </xf>
    <xf numFmtId="0" fontId="6" fillId="0" borderId="1" xfId="0" applyFont="1" applyBorder="1" applyAlignment="1">
      <alignment vertical="center" wrapText="1"/>
    </xf>
    <xf numFmtId="0" fontId="6" fillId="3" borderId="0" xfId="0" applyFont="1" applyFill="1" applyAlignment="1">
      <alignment horizontal="center" vertical="center" wrapText="1"/>
    </xf>
    <xf numFmtId="0" fontId="3" fillId="3" borderId="0" xfId="0" applyFont="1" applyFill="1" applyAlignment="1">
      <alignment vertical="center" wrapText="1"/>
    </xf>
    <xf numFmtId="0" fontId="4" fillId="4" borderId="1" xfId="0" applyFont="1" applyFill="1" applyBorder="1" applyAlignment="1">
      <alignment horizontal="center" vertical="center" wrapText="1"/>
    </xf>
    <xf numFmtId="0" fontId="3" fillId="0" borderId="0" xfId="0" applyFont="1" applyAlignment="1">
      <alignment horizontal="right" vertical="center" wrapText="1"/>
    </xf>
    <xf numFmtId="0" fontId="12" fillId="8" borderId="0" xfId="0" applyFont="1" applyFill="1" applyAlignment="1">
      <alignment horizontal="center" vertical="center"/>
    </xf>
    <xf numFmtId="0" fontId="12" fillId="8" borderId="0" xfId="0" applyFont="1" applyFill="1" applyAlignment="1">
      <alignment vertical="center"/>
    </xf>
    <xf numFmtId="0" fontId="13" fillId="9"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3" fillId="8" borderId="31" xfId="0" applyFont="1" applyFill="1" applyBorder="1"/>
    <xf numFmtId="0" fontId="13" fillId="8" borderId="32" xfId="0" applyFont="1" applyFill="1" applyBorder="1"/>
    <xf numFmtId="0" fontId="13" fillId="8" borderId="33" xfId="0" applyFont="1" applyFill="1" applyBorder="1"/>
    <xf numFmtId="0" fontId="14" fillId="0" borderId="0" xfId="0" applyFont="1" applyAlignment="1">
      <alignment horizontal="center" vertical="center"/>
    </xf>
    <xf numFmtId="0" fontId="15" fillId="0" borderId="0" xfId="0" applyFont="1" applyAlignment="1">
      <alignment horizontal="justify" vertical="center"/>
    </xf>
    <xf numFmtId="0" fontId="14" fillId="0" borderId="0" xfId="0" applyFont="1" applyAlignment="1">
      <alignment horizontal="justify" vertical="center"/>
    </xf>
    <xf numFmtId="0" fontId="16" fillId="0" borderId="0" xfId="0" applyFont="1" applyAlignment="1">
      <alignment horizontal="justify" vertical="center"/>
    </xf>
    <xf numFmtId="0" fontId="15" fillId="0" borderId="0" xfId="0" applyFont="1"/>
    <xf numFmtId="0" fontId="18" fillId="0" borderId="0" xfId="0" applyFont="1" applyAlignment="1">
      <alignment horizontal="left" vertical="center" wrapText="1"/>
    </xf>
    <xf numFmtId="0" fontId="19" fillId="0" borderId="0" xfId="0" applyFont="1" applyAlignment="1">
      <alignment textRotation="90"/>
    </xf>
    <xf numFmtId="0" fontId="15" fillId="3" borderId="0" xfId="0" applyFont="1" applyFill="1" applyAlignment="1">
      <alignment horizontal="justify" vertical="center"/>
    </xf>
    <xf numFmtId="0" fontId="3" fillId="0" borderId="1" xfId="0" applyFont="1" applyBorder="1" applyAlignment="1">
      <alignment horizontal="center" vertical="center" wrapText="1"/>
    </xf>
    <xf numFmtId="1" fontId="4" fillId="3" borderId="1" xfId="0" applyNumberFormat="1" applyFont="1" applyFill="1" applyBorder="1" applyAlignment="1">
      <alignment horizontal="center" vertical="center" wrapText="1"/>
    </xf>
    <xf numFmtId="0" fontId="3" fillId="2" borderId="0" xfId="0" applyFont="1" applyFill="1" applyAlignment="1">
      <alignment horizontal="left" vertical="center" wrapText="1"/>
    </xf>
    <xf numFmtId="0" fontId="21" fillId="10"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21" fillId="11" borderId="40" xfId="0" applyFont="1" applyFill="1" applyBorder="1" applyAlignment="1">
      <alignment vertical="center" wrapText="1"/>
    </xf>
    <xf numFmtId="0" fontId="21" fillId="11" borderId="41" xfId="0" applyFont="1" applyFill="1" applyBorder="1" applyAlignment="1">
      <alignment vertical="center" wrapText="1"/>
    </xf>
    <xf numFmtId="0" fontId="21" fillId="11" borderId="42" xfId="0" applyFont="1" applyFill="1" applyBorder="1" applyAlignment="1">
      <alignment vertical="center" wrapText="1"/>
    </xf>
    <xf numFmtId="0" fontId="23" fillId="0" borderId="1" xfId="0" applyFont="1" applyBorder="1" applyAlignment="1">
      <alignment horizontal="center" vertical="center" wrapText="1"/>
    </xf>
    <xf numFmtId="0" fontId="21" fillId="10" borderId="10"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3" fillId="0" borderId="1" xfId="0" applyFont="1" applyBorder="1" applyAlignment="1">
      <alignment horizontal="center" vertical="center" wrapText="1"/>
    </xf>
    <xf numFmtId="1" fontId="13" fillId="0" borderId="1" xfId="0" applyNumberFormat="1" applyFont="1" applyBorder="1" applyAlignment="1">
      <alignment horizontal="center" vertical="center" wrapText="1"/>
    </xf>
    <xf numFmtId="0" fontId="4" fillId="0" borderId="0" xfId="0" applyFont="1" applyAlignment="1">
      <alignment horizontal="center" vertical="center"/>
    </xf>
    <xf numFmtId="0" fontId="1" fillId="0" borderId="0" xfId="0" applyFont="1" applyAlignment="1">
      <alignment horizontal="center" vertical="center" wrapText="1"/>
    </xf>
    <xf numFmtId="0" fontId="6" fillId="5" borderId="24" xfId="0" applyFont="1" applyFill="1" applyBorder="1" applyAlignment="1">
      <alignment horizontal="center" vertical="center" wrapText="1"/>
    </xf>
    <xf numFmtId="0" fontId="6" fillId="5" borderId="25" xfId="0" applyFont="1" applyFill="1" applyBorder="1" applyAlignment="1">
      <alignment horizontal="center" vertical="center" wrapText="1"/>
    </xf>
    <xf numFmtId="0" fontId="6" fillId="5" borderId="26"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25" xfId="0" applyFont="1" applyFill="1" applyBorder="1" applyAlignment="1">
      <alignment horizontal="center" vertical="center" wrapText="1"/>
    </xf>
    <xf numFmtId="0" fontId="6" fillId="4" borderId="39"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21" fillId="0" borderId="16" xfId="0" applyFont="1" applyBorder="1" applyAlignment="1">
      <alignment horizontal="center" vertical="center" wrapText="1"/>
    </xf>
    <xf numFmtId="0" fontId="21" fillId="0" borderId="17" xfId="0" applyFont="1" applyBorder="1" applyAlignment="1">
      <alignment horizontal="center" vertical="center" wrapText="1"/>
    </xf>
    <xf numFmtId="0" fontId="6" fillId="4" borderId="0" xfId="0" applyFont="1" applyFill="1" applyAlignment="1">
      <alignment horizontal="center" vertical="center" wrapText="1"/>
    </xf>
    <xf numFmtId="0" fontId="4" fillId="0" borderId="0" xfId="0" applyFont="1" applyAlignment="1">
      <alignment horizontal="center" vertical="center" wrapText="1"/>
    </xf>
    <xf numFmtId="0" fontId="4" fillId="4"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21" fillId="0" borderId="19" xfId="0" applyFont="1" applyBorder="1" applyAlignment="1">
      <alignment horizontal="center" vertical="center" wrapText="1"/>
    </xf>
    <xf numFmtId="0" fontId="21" fillId="0" borderId="18" xfId="0" applyFont="1" applyBorder="1" applyAlignment="1">
      <alignment horizontal="center" vertical="center" wrapText="1"/>
    </xf>
    <xf numFmtId="3" fontId="24" fillId="0" borderId="19" xfId="0" applyNumberFormat="1" applyFont="1" applyBorder="1" applyAlignment="1">
      <alignment horizontal="center" vertical="center" wrapText="1"/>
    </xf>
    <xf numFmtId="3" fontId="24" fillId="0" borderId="18" xfId="0" applyNumberFormat="1" applyFont="1" applyBorder="1" applyAlignment="1">
      <alignment horizontal="center" vertical="center" wrapText="1"/>
    </xf>
    <xf numFmtId="0" fontId="26" fillId="0" borderId="19" xfId="0" applyFont="1" applyBorder="1" applyAlignment="1">
      <alignment horizontal="center" vertical="center" wrapText="1"/>
    </xf>
    <xf numFmtId="0" fontId="26" fillId="0" borderId="18" xfId="0" applyFont="1" applyBorder="1" applyAlignment="1">
      <alignment horizontal="center" vertical="center" wrapText="1"/>
    </xf>
    <xf numFmtId="0" fontId="21" fillId="0" borderId="19" xfId="0" quotePrefix="1" applyFont="1" applyBorder="1" applyAlignment="1">
      <alignment horizontal="center" vertical="center" wrapText="1"/>
    </xf>
    <xf numFmtId="0" fontId="9" fillId="0" borderId="19" xfId="0" applyFont="1" applyBorder="1" applyAlignment="1">
      <alignment horizontal="center" vertical="center" wrapText="1"/>
    </xf>
    <xf numFmtId="0" fontId="9" fillId="0" borderId="18" xfId="0" applyFont="1" applyBorder="1" applyAlignment="1">
      <alignment horizontal="center" vertical="center" wrapText="1"/>
    </xf>
    <xf numFmtId="0" fontId="21" fillId="0" borderId="43" xfId="0" applyFont="1" applyBorder="1" applyAlignment="1">
      <alignment horizontal="center" vertical="center" wrapText="1"/>
    </xf>
    <xf numFmtId="0" fontId="21" fillId="0" borderId="20" xfId="0" applyFont="1" applyBorder="1" applyAlignment="1">
      <alignment horizontal="center" vertical="center" wrapText="1"/>
    </xf>
    <xf numFmtId="0" fontId="6" fillId="4" borderId="11" xfId="0" applyFont="1" applyFill="1" applyBorder="1" applyAlignment="1">
      <alignment horizontal="center" vertical="center" wrapText="1"/>
    </xf>
    <xf numFmtId="0" fontId="6" fillId="4" borderId="12" xfId="0" applyFont="1" applyFill="1" applyBorder="1" applyAlignment="1">
      <alignment horizontal="center" vertical="center" wrapText="1"/>
    </xf>
    <xf numFmtId="0" fontId="7" fillId="0" borderId="2" xfId="0" applyFont="1" applyBorder="1" applyAlignment="1">
      <alignment horizontal="left" vertical="center" wrapText="1"/>
    </xf>
    <xf numFmtId="0" fontId="7" fillId="0" borderId="0" xfId="0" applyFont="1" applyAlignment="1">
      <alignment horizontal="left" vertical="center" wrapText="1"/>
    </xf>
    <xf numFmtId="0" fontId="6" fillId="4" borderId="46"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24" fillId="10" borderId="10"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11" fillId="3" borderId="18" xfId="0" applyFont="1" applyFill="1" applyBorder="1" applyAlignment="1">
      <alignment horizontal="center" vertical="center" wrapText="1"/>
    </xf>
    <xf numFmtId="0" fontId="11" fillId="3" borderId="12" xfId="0" applyFont="1" applyFill="1" applyBorder="1" applyAlignment="1">
      <alignment horizontal="center" vertical="center" wrapText="1"/>
    </xf>
    <xf numFmtId="0" fontId="4" fillId="0" borderId="24" xfId="0" applyFont="1" applyBorder="1" applyAlignment="1">
      <alignment horizontal="left" vertical="center" wrapText="1"/>
    </xf>
    <xf numFmtId="0" fontId="4" fillId="0" borderId="25" xfId="0" applyFont="1" applyBorder="1" applyAlignment="1">
      <alignment horizontal="left" vertical="center" wrapText="1"/>
    </xf>
    <xf numFmtId="0" fontId="4" fillId="0" borderId="26" xfId="0" applyFont="1" applyBorder="1" applyAlignment="1">
      <alignment horizontal="left" vertical="center" wrapText="1"/>
    </xf>
    <xf numFmtId="0" fontId="4" fillId="0" borderId="27" xfId="0" applyFont="1" applyBorder="1" applyAlignment="1">
      <alignment horizontal="left" vertical="center" wrapText="1"/>
    </xf>
    <xf numFmtId="0" fontId="4" fillId="0" borderId="28" xfId="0" applyFont="1" applyBorder="1" applyAlignment="1">
      <alignment horizontal="left" vertical="center" wrapText="1"/>
    </xf>
    <xf numFmtId="0" fontId="4" fillId="0" borderId="29" xfId="0" applyFont="1" applyBorder="1" applyAlignment="1">
      <alignment horizontal="left" vertical="center" wrapText="1"/>
    </xf>
    <xf numFmtId="0" fontId="4" fillId="4" borderId="1" xfId="0" applyFont="1" applyFill="1" applyBorder="1" applyAlignment="1">
      <alignment horizontal="center" vertical="center" wrapText="1"/>
    </xf>
    <xf numFmtId="0" fontId="25" fillId="0" borderId="31"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33" xfId="0" applyFont="1" applyBorder="1" applyAlignment="1">
      <alignment horizontal="center" vertical="center" wrapText="1"/>
    </xf>
    <xf numFmtId="0" fontId="25" fillId="0" borderId="36" xfId="0" applyFont="1" applyBorder="1" applyAlignment="1">
      <alignment horizontal="center" vertical="center" wrapText="1"/>
    </xf>
    <xf numFmtId="0" fontId="25" fillId="0" borderId="37" xfId="0" applyFont="1" applyBorder="1" applyAlignment="1">
      <alignment horizontal="center" vertical="center" wrapText="1"/>
    </xf>
    <xf numFmtId="0" fontId="25" fillId="0" borderId="38" xfId="0" applyFont="1" applyBorder="1" applyAlignment="1">
      <alignment horizontal="center" vertical="center" wrapText="1"/>
    </xf>
    <xf numFmtId="0" fontId="1" fillId="4" borderId="13" xfId="0" applyFont="1" applyFill="1" applyBorder="1" applyAlignment="1">
      <alignment horizontal="left" vertical="center" wrapText="1"/>
    </xf>
    <xf numFmtId="0" fontId="1" fillId="4" borderId="21" xfId="0" applyFont="1" applyFill="1" applyBorder="1" applyAlignment="1">
      <alignment horizontal="left" vertical="center" wrapText="1"/>
    </xf>
    <xf numFmtId="0" fontId="1" fillId="4" borderId="22" xfId="0" applyFont="1" applyFill="1" applyBorder="1" applyAlignment="1">
      <alignment horizontal="left" vertical="center" wrapText="1"/>
    </xf>
    <xf numFmtId="0" fontId="1" fillId="4" borderId="14" xfId="0" applyFont="1" applyFill="1" applyBorder="1" applyAlignment="1">
      <alignment horizontal="left" vertical="center" wrapText="1"/>
    </xf>
    <xf numFmtId="0" fontId="1" fillId="4" borderId="15" xfId="0" applyFont="1" applyFill="1" applyBorder="1" applyAlignment="1">
      <alignment horizontal="left" vertical="center" wrapText="1"/>
    </xf>
    <xf numFmtId="0" fontId="1" fillId="4" borderId="23" xfId="0" applyFont="1" applyFill="1" applyBorder="1" applyAlignment="1">
      <alignment horizontal="left" vertical="center" wrapText="1"/>
    </xf>
    <xf numFmtId="14" fontId="4" fillId="4" borderId="8" xfId="0" applyNumberFormat="1"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4" fillId="0" borderId="0" xfId="0" applyFont="1" applyAlignment="1">
      <alignment horizontal="center" vertical="center"/>
    </xf>
    <xf numFmtId="0" fontId="15" fillId="0" borderId="0" xfId="0" applyFont="1" applyAlignment="1">
      <alignment horizontal="justify" vertical="top" wrapText="1"/>
    </xf>
    <xf numFmtId="0" fontId="10" fillId="6" borderId="0" xfId="0" applyFont="1" applyFill="1" applyAlignment="1">
      <alignment horizontal="center" vertical="center"/>
    </xf>
    <xf numFmtId="0" fontId="11" fillId="7" borderId="5" xfId="0" applyFont="1" applyFill="1" applyBorder="1" applyAlignment="1">
      <alignment horizontal="center" vertical="center" wrapText="1"/>
    </xf>
    <xf numFmtId="0" fontId="11" fillId="7" borderId="6" xfId="0" applyFont="1" applyFill="1" applyBorder="1" applyAlignment="1">
      <alignment horizontal="center" vertical="center" wrapText="1"/>
    </xf>
    <xf numFmtId="0" fontId="11" fillId="7" borderId="30" xfId="0" applyFont="1" applyFill="1" applyBorder="1" applyAlignment="1">
      <alignment horizontal="center" vertical="center" wrapText="1"/>
    </xf>
    <xf numFmtId="0" fontId="13" fillId="9" borderId="1" xfId="0" applyFont="1" applyFill="1" applyBorder="1" applyAlignment="1">
      <alignment horizontal="center" vertical="center" wrapText="1"/>
    </xf>
    <xf numFmtId="14" fontId="12" fillId="8" borderId="1" xfId="0" applyNumberFormat="1" applyFont="1" applyFill="1" applyBorder="1" applyAlignment="1">
      <alignment horizontal="center" vertical="center" wrapText="1"/>
    </xf>
    <xf numFmtId="0" fontId="12" fillId="8" borderId="1" xfId="0" applyFont="1" applyFill="1" applyBorder="1" applyAlignment="1">
      <alignment vertical="center" wrapText="1"/>
    </xf>
    <xf numFmtId="0" fontId="12" fillId="8" borderId="1" xfId="0" applyFont="1" applyFill="1" applyBorder="1" applyAlignment="1">
      <alignment horizontal="justify" vertical="center" wrapText="1"/>
    </xf>
    <xf numFmtId="0" fontId="13" fillId="8" borderId="8" xfId="0" applyFont="1" applyFill="1" applyBorder="1" applyAlignment="1">
      <alignment horizontal="center" vertical="center" wrapText="1"/>
    </xf>
    <xf numFmtId="0" fontId="13" fillId="8" borderId="9" xfId="0" applyFont="1" applyFill="1" applyBorder="1" applyAlignment="1">
      <alignment horizontal="center" vertical="center" wrapText="1"/>
    </xf>
    <xf numFmtId="0" fontId="13" fillId="8" borderId="10" xfId="0" applyFont="1" applyFill="1" applyBorder="1" applyAlignment="1">
      <alignment horizontal="center" vertical="center" wrapText="1"/>
    </xf>
    <xf numFmtId="0" fontId="13" fillId="8" borderId="36" xfId="0" applyFont="1" applyFill="1" applyBorder="1" applyAlignment="1">
      <alignment horizontal="center" vertical="center"/>
    </xf>
    <xf numFmtId="0" fontId="13" fillId="8" borderId="37" xfId="0" applyFont="1" applyFill="1" applyBorder="1" applyAlignment="1">
      <alignment horizontal="center" vertical="center"/>
    </xf>
    <xf numFmtId="0" fontId="13" fillId="8" borderId="38" xfId="0" applyFont="1" applyFill="1" applyBorder="1" applyAlignment="1">
      <alignment horizontal="center" vertical="center"/>
    </xf>
    <xf numFmtId="0" fontId="13" fillId="8" borderId="36" xfId="0" applyFont="1" applyFill="1" applyBorder="1" applyAlignment="1">
      <alignment horizontal="center"/>
    </xf>
    <xf numFmtId="0" fontId="13" fillId="8" borderId="37" xfId="0" applyFont="1" applyFill="1" applyBorder="1" applyAlignment="1">
      <alignment horizontal="center"/>
    </xf>
    <xf numFmtId="0" fontId="13" fillId="8" borderId="38" xfId="0" applyFont="1" applyFill="1" applyBorder="1" applyAlignment="1">
      <alignment horizontal="center"/>
    </xf>
    <xf numFmtId="0" fontId="13" fillId="8" borderId="31" xfId="0" applyFont="1" applyFill="1" applyBorder="1" applyAlignment="1">
      <alignment horizontal="center" vertical="center"/>
    </xf>
    <xf numFmtId="0" fontId="13" fillId="8" borderId="32" xfId="0" applyFont="1" applyFill="1" applyBorder="1" applyAlignment="1">
      <alignment horizontal="center" vertical="center"/>
    </xf>
    <xf numFmtId="0" fontId="13" fillId="8" borderId="33" xfId="0" applyFont="1" applyFill="1" applyBorder="1" applyAlignment="1">
      <alignment horizontal="center" vertical="center"/>
    </xf>
    <xf numFmtId="0" fontId="13" fillId="8" borderId="31" xfId="0" applyFont="1" applyFill="1" applyBorder="1" applyAlignment="1">
      <alignment horizontal="center"/>
    </xf>
    <xf numFmtId="0" fontId="13" fillId="8" borderId="32" xfId="0" applyFont="1" applyFill="1" applyBorder="1" applyAlignment="1">
      <alignment horizontal="center"/>
    </xf>
    <xf numFmtId="0" fontId="13" fillId="8" borderId="33" xfId="0" applyFont="1" applyFill="1" applyBorder="1" applyAlignment="1">
      <alignment horizontal="center"/>
    </xf>
    <xf numFmtId="0" fontId="13" fillId="8" borderId="34" xfId="0" applyFont="1" applyFill="1" applyBorder="1" applyAlignment="1">
      <alignment horizontal="center"/>
    </xf>
    <xf numFmtId="0" fontId="13" fillId="8" borderId="0" xfId="0" applyFont="1" applyFill="1" applyAlignment="1">
      <alignment horizontal="center"/>
    </xf>
    <xf numFmtId="0" fontId="13" fillId="8" borderId="35" xfId="0" applyFont="1" applyFill="1" applyBorder="1" applyAlignment="1">
      <alignment horizontal="center"/>
    </xf>
  </cellXfs>
  <cellStyles count="3">
    <cellStyle name="Millares 2 2" xfId="2" xr:uid="{237074AF-8739-4397-95B5-82792AF6EE47}"/>
    <cellStyle name="Normal" xfId="0" builtinId="0"/>
    <cellStyle name="Normal 2" xfId="1" xr:uid="{4C86DF6A-BE53-4AA0-A93F-6775045DE5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31751</xdr:colOff>
      <xdr:row>0</xdr:row>
      <xdr:rowOff>0</xdr:rowOff>
    </xdr:from>
    <xdr:to>
      <xdr:col>1</xdr:col>
      <xdr:colOff>486835</xdr:colOff>
      <xdr:row>3</xdr:row>
      <xdr:rowOff>164263</xdr:rowOff>
    </xdr:to>
    <xdr:pic>
      <xdr:nvPicPr>
        <xdr:cNvPr id="3" name="Imagen 2" descr="Icono&#10;&#10;Descripción generada automáticamente">
          <a:extLst>
            <a:ext uri="{FF2B5EF4-FFF2-40B4-BE49-F238E27FC236}">
              <a16:creationId xmlns:a16="http://schemas.microsoft.com/office/drawing/2014/main" id="{05F61FFF-2030-931E-BB47-5273F0EB24BC}"/>
            </a:ext>
          </a:extLst>
        </xdr:cNvPr>
        <xdr:cNvPicPr>
          <a:picLocks noChangeAspect="1"/>
        </xdr:cNvPicPr>
      </xdr:nvPicPr>
      <xdr:blipFill>
        <a:blip xmlns:r="http://schemas.openxmlformats.org/officeDocument/2006/relationships" r:embed="rId1"/>
        <a:stretch>
          <a:fillRect/>
        </a:stretch>
      </xdr:blipFill>
      <xdr:spPr>
        <a:xfrm>
          <a:off x="31751" y="0"/>
          <a:ext cx="2042584" cy="83101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2:I47"/>
  <sheetViews>
    <sheetView tabSelected="1" view="pageBreakPreview" topLeftCell="A9" zoomScale="85" zoomScaleNormal="90" zoomScaleSheetLayoutView="85" workbookViewId="0">
      <selection activeCell="N21" sqref="N21"/>
    </sheetView>
  </sheetViews>
  <sheetFormatPr baseColWidth="10" defaultColWidth="9.140625" defaultRowHeight="14.25" x14ac:dyDescent="0.25"/>
  <cols>
    <col min="1" max="1" width="23.85546875" style="1" customWidth="1"/>
    <col min="2" max="2" width="21" style="1" customWidth="1"/>
    <col min="3" max="3" width="24" style="1" customWidth="1"/>
    <col min="4" max="4" width="24.85546875" style="1" customWidth="1"/>
    <col min="5" max="5" width="22" style="1" customWidth="1"/>
    <col min="6" max="6" width="19.140625" style="1" customWidth="1"/>
    <col min="7" max="7" width="16.28515625" style="1" customWidth="1"/>
    <col min="8" max="8" width="19.28515625" style="1" customWidth="1"/>
    <col min="9" max="9" width="24.28515625" style="1" customWidth="1"/>
    <col min="10" max="16384" width="9.140625" style="1"/>
  </cols>
  <sheetData>
    <row r="2" spans="1:9" ht="19.5" customHeight="1" x14ac:dyDescent="0.25">
      <c r="C2" s="47" t="s">
        <v>0</v>
      </c>
      <c r="D2" s="47"/>
      <c r="E2" s="47"/>
      <c r="F2" s="47"/>
      <c r="G2" s="47"/>
      <c r="H2" s="47"/>
      <c r="I2" s="47"/>
    </row>
    <row r="3" spans="1:9" ht="19.5" customHeight="1" x14ac:dyDescent="0.25">
      <c r="C3" s="47"/>
      <c r="D3" s="47"/>
      <c r="E3" s="47"/>
      <c r="F3" s="47"/>
      <c r="G3" s="47"/>
      <c r="H3" s="47"/>
      <c r="I3" s="47"/>
    </row>
    <row r="5" spans="1:9" ht="29.25" customHeight="1" x14ac:dyDescent="0.25">
      <c r="A5" s="57" t="s">
        <v>1</v>
      </c>
      <c r="B5" s="57"/>
      <c r="C5" s="57"/>
      <c r="D5" s="57"/>
      <c r="E5" s="57"/>
      <c r="F5" s="57"/>
      <c r="G5" s="57"/>
      <c r="H5" s="57"/>
      <c r="I5" s="57"/>
    </row>
    <row r="6" spans="1:9" s="14" customFormat="1" ht="7.5" customHeight="1" x14ac:dyDescent="0.25">
      <c r="A6" s="13"/>
      <c r="B6" s="13"/>
      <c r="C6" s="13"/>
      <c r="D6" s="13"/>
      <c r="E6" s="13"/>
      <c r="F6" s="13"/>
      <c r="G6" s="13"/>
      <c r="H6" s="13"/>
      <c r="I6" s="13"/>
    </row>
    <row r="7" spans="1:9" ht="28.5" customHeight="1" x14ac:dyDescent="0.25">
      <c r="A7" s="11" t="s">
        <v>2</v>
      </c>
      <c r="B7" s="12"/>
      <c r="D7" s="2" t="s">
        <v>3</v>
      </c>
      <c r="E7" s="32" t="s">
        <v>4</v>
      </c>
      <c r="G7" s="58" t="s">
        <v>5</v>
      </c>
      <c r="H7" s="58"/>
      <c r="I7" s="32" t="s">
        <v>66</v>
      </c>
    </row>
    <row r="8" spans="1:9" ht="15" thickBot="1" x14ac:dyDescent="0.3"/>
    <row r="9" spans="1:9" ht="34.5" customHeight="1" thickBot="1" x14ac:dyDescent="0.3">
      <c r="A9" s="51" t="s">
        <v>6</v>
      </c>
      <c r="B9" s="52"/>
      <c r="C9" s="53"/>
      <c r="D9" s="51" t="s">
        <v>7</v>
      </c>
      <c r="E9" s="54"/>
      <c r="F9" s="54"/>
      <c r="G9" s="59" t="s">
        <v>8</v>
      </c>
      <c r="H9" s="60"/>
      <c r="I9" s="61"/>
    </row>
    <row r="10" spans="1:9" s="3" customFormat="1" ht="29.25" customHeight="1" x14ac:dyDescent="0.25">
      <c r="A10" s="37" t="s">
        <v>9</v>
      </c>
      <c r="B10" s="55" t="s">
        <v>64</v>
      </c>
      <c r="C10" s="56"/>
      <c r="D10" s="37" t="s">
        <v>9</v>
      </c>
      <c r="E10" s="55" t="s">
        <v>67</v>
      </c>
      <c r="F10" s="56"/>
      <c r="G10" s="37" t="s">
        <v>10</v>
      </c>
      <c r="H10" s="55" t="s">
        <v>44</v>
      </c>
      <c r="I10" s="56"/>
    </row>
    <row r="11" spans="1:9" s="3" customFormat="1" ht="21.75" customHeight="1" x14ac:dyDescent="0.25">
      <c r="A11" s="38" t="s">
        <v>11</v>
      </c>
      <c r="B11" s="64">
        <v>1044215586</v>
      </c>
      <c r="C11" s="65"/>
      <c r="D11" s="38" t="s">
        <v>11</v>
      </c>
      <c r="E11" s="64">
        <v>1007615798</v>
      </c>
      <c r="F11" s="65"/>
      <c r="G11" s="38" t="s">
        <v>12</v>
      </c>
      <c r="H11" s="62" t="s">
        <v>65</v>
      </c>
      <c r="I11" s="63"/>
    </row>
    <row r="12" spans="1:9" s="3" customFormat="1" ht="31.5" customHeight="1" x14ac:dyDescent="0.25">
      <c r="A12" s="38" t="s">
        <v>13</v>
      </c>
      <c r="B12" s="69" t="s">
        <v>60</v>
      </c>
      <c r="C12" s="70"/>
      <c r="D12" s="38" t="s">
        <v>13</v>
      </c>
      <c r="E12" s="66" t="s">
        <v>68</v>
      </c>
      <c r="F12" s="67"/>
      <c r="G12" s="38" t="s">
        <v>14</v>
      </c>
      <c r="H12" s="68" t="s">
        <v>69</v>
      </c>
      <c r="I12" s="63"/>
    </row>
    <row r="13" spans="1:9" s="3" customFormat="1" ht="21.75" customHeight="1" thickBot="1" x14ac:dyDescent="0.3">
      <c r="A13" s="39" t="s">
        <v>15</v>
      </c>
      <c r="B13" s="71" t="s">
        <v>16</v>
      </c>
      <c r="C13" s="72"/>
      <c r="D13" s="39" t="s">
        <v>15</v>
      </c>
      <c r="E13" s="62" t="s">
        <v>16</v>
      </c>
      <c r="F13" s="63"/>
      <c r="G13" s="39" t="s">
        <v>15</v>
      </c>
      <c r="H13" s="62" t="s">
        <v>16</v>
      </c>
      <c r="I13" s="63"/>
    </row>
    <row r="14" spans="1:9" s="3" customFormat="1" ht="6" customHeight="1" thickBot="1" x14ac:dyDescent="0.3">
      <c r="A14" s="4"/>
      <c r="B14" s="2"/>
      <c r="C14" s="1"/>
      <c r="D14" s="1"/>
      <c r="E14" s="1"/>
      <c r="F14" s="1"/>
      <c r="G14" s="34"/>
      <c r="H14" s="34"/>
      <c r="I14" s="5"/>
    </row>
    <row r="15" spans="1:9" s="3" customFormat="1" ht="24" customHeight="1" thickBot="1" x14ac:dyDescent="0.3">
      <c r="A15" s="48" t="s">
        <v>17</v>
      </c>
      <c r="B15" s="49"/>
      <c r="C15" s="49"/>
      <c r="D15" s="49"/>
      <c r="E15" s="49"/>
      <c r="F15" s="49"/>
      <c r="G15" s="49"/>
      <c r="H15" s="49"/>
      <c r="I15" s="50"/>
    </row>
    <row r="16" spans="1:9" s="10" customFormat="1" ht="39.75" customHeight="1" thickBot="1" x14ac:dyDescent="0.3">
      <c r="A16" s="42" t="s">
        <v>18</v>
      </c>
      <c r="B16" s="43" t="s">
        <v>19</v>
      </c>
      <c r="C16" s="43" t="s">
        <v>20</v>
      </c>
      <c r="D16" s="43" t="s">
        <v>21</v>
      </c>
      <c r="E16" s="43" t="s">
        <v>22</v>
      </c>
      <c r="F16" s="77" t="s">
        <v>23</v>
      </c>
      <c r="G16" s="54"/>
      <c r="H16" s="54"/>
      <c r="I16" s="78"/>
    </row>
    <row r="17" spans="1:9" s="3" customFormat="1" ht="30.75" customHeight="1" x14ac:dyDescent="0.25">
      <c r="A17" s="41" t="s">
        <v>70</v>
      </c>
      <c r="B17" s="35" t="s">
        <v>76</v>
      </c>
      <c r="C17" s="35" t="s">
        <v>77</v>
      </c>
      <c r="D17" s="35" t="s">
        <v>79</v>
      </c>
      <c r="E17" s="41" t="s">
        <v>78</v>
      </c>
      <c r="F17" s="79" t="s">
        <v>61</v>
      </c>
      <c r="G17" s="79"/>
      <c r="H17" s="79"/>
      <c r="I17" s="79"/>
    </row>
    <row r="18" spans="1:9" s="3" customFormat="1" ht="26.25" customHeight="1" x14ac:dyDescent="0.25">
      <c r="A18" s="41" t="s">
        <v>75</v>
      </c>
      <c r="B18" s="35"/>
      <c r="C18" s="35" t="s">
        <v>80</v>
      </c>
      <c r="D18" s="35" t="s">
        <v>81</v>
      </c>
      <c r="E18" s="41" t="s">
        <v>78</v>
      </c>
      <c r="F18" s="79" t="s">
        <v>61</v>
      </c>
      <c r="G18" s="79"/>
      <c r="H18" s="79"/>
      <c r="I18" s="79"/>
    </row>
    <row r="19" spans="1:9" s="3" customFormat="1" ht="30" customHeight="1" x14ac:dyDescent="0.25">
      <c r="A19" s="41" t="s">
        <v>70</v>
      </c>
      <c r="B19" s="35" t="s">
        <v>71</v>
      </c>
      <c r="C19" s="35" t="s">
        <v>72</v>
      </c>
      <c r="D19" s="46" t="s">
        <v>74</v>
      </c>
      <c r="E19" s="41" t="s">
        <v>73</v>
      </c>
      <c r="F19" s="79" t="s">
        <v>62</v>
      </c>
      <c r="G19" s="79"/>
      <c r="H19" s="79"/>
      <c r="I19" s="79"/>
    </row>
    <row r="20" spans="1:9" s="3" customFormat="1" ht="25.5" customHeight="1" x14ac:dyDescent="0.25">
      <c r="A20" s="35" t="s">
        <v>75</v>
      </c>
      <c r="B20" s="35"/>
      <c r="C20" s="35"/>
      <c r="D20" s="35"/>
      <c r="E20" s="41" t="s">
        <v>73</v>
      </c>
      <c r="F20" s="79" t="s">
        <v>62</v>
      </c>
      <c r="G20" s="79"/>
      <c r="H20" s="79"/>
      <c r="I20" s="79"/>
    </row>
    <row r="21" spans="1:9" s="3" customFormat="1" ht="25.5" customHeight="1" x14ac:dyDescent="0.25">
      <c r="A21" s="35"/>
      <c r="B21" s="36"/>
      <c r="C21" s="45"/>
      <c r="D21" s="44"/>
      <c r="E21" s="35"/>
      <c r="F21" s="79"/>
      <c r="G21" s="79"/>
      <c r="H21" s="79"/>
      <c r="I21" s="79"/>
    </row>
    <row r="22" spans="1:9" s="3" customFormat="1" ht="25.5" customHeight="1" x14ac:dyDescent="0.25">
      <c r="A22" s="6"/>
      <c r="B22" s="9"/>
      <c r="C22" s="9"/>
      <c r="D22" s="9"/>
      <c r="E22" s="6"/>
      <c r="F22" s="79"/>
      <c r="G22" s="79"/>
      <c r="H22" s="79"/>
      <c r="I22" s="79"/>
    </row>
    <row r="23" spans="1:9" s="3" customFormat="1" ht="25.5" customHeight="1" x14ac:dyDescent="0.25">
      <c r="A23" s="6"/>
      <c r="B23" s="9"/>
      <c r="C23" s="40"/>
      <c r="D23" s="9"/>
      <c r="E23" s="6"/>
      <c r="F23" s="80"/>
      <c r="G23" s="81"/>
      <c r="H23" s="81"/>
      <c r="I23" s="82"/>
    </row>
    <row r="24" spans="1:9" s="3" customFormat="1" ht="25.5" customHeight="1" x14ac:dyDescent="0.25">
      <c r="A24" s="6"/>
      <c r="B24" s="9"/>
      <c r="C24" s="9"/>
      <c r="D24" s="9"/>
      <c r="E24" s="6"/>
      <c r="F24" s="80"/>
      <c r="G24" s="81"/>
      <c r="H24" s="81"/>
      <c r="I24" s="82"/>
    </row>
    <row r="25" spans="1:9" ht="12.75" customHeight="1" x14ac:dyDescent="0.25">
      <c r="A25" s="75"/>
      <c r="B25" s="76"/>
      <c r="C25" s="76"/>
      <c r="D25" s="76"/>
      <c r="E25" s="76"/>
      <c r="F25" s="76"/>
      <c r="G25" s="76"/>
      <c r="H25" s="76"/>
      <c r="I25" s="76"/>
    </row>
    <row r="26" spans="1:9" ht="18.75" customHeight="1" x14ac:dyDescent="0.25">
      <c r="A26" s="105" t="s">
        <v>24</v>
      </c>
      <c r="B26" s="73" t="s">
        <v>25</v>
      </c>
      <c r="C26" s="74"/>
      <c r="E26" s="15" t="s">
        <v>26</v>
      </c>
      <c r="F26" s="106" t="s">
        <v>27</v>
      </c>
      <c r="G26" s="106"/>
      <c r="H26" s="106"/>
      <c r="I26" s="106"/>
    </row>
    <row r="27" spans="1:9" ht="19.5" customHeight="1" x14ac:dyDescent="0.25">
      <c r="A27" s="103"/>
      <c r="B27" s="7" t="s">
        <v>28</v>
      </c>
      <c r="C27" s="33"/>
      <c r="E27" s="102">
        <f ca="1">TODAY()</f>
        <v>46167</v>
      </c>
      <c r="F27" s="90"/>
      <c r="G27" s="91"/>
      <c r="H27" s="91"/>
      <c r="I27" s="92"/>
    </row>
    <row r="28" spans="1:9" ht="19.5" customHeight="1" x14ac:dyDescent="0.25">
      <c r="A28" s="103"/>
      <c r="B28" s="7" t="s">
        <v>29</v>
      </c>
      <c r="C28" s="33"/>
      <c r="E28" s="103"/>
      <c r="F28" s="93"/>
      <c r="G28" s="94"/>
      <c r="H28" s="94"/>
      <c r="I28" s="95"/>
    </row>
    <row r="29" spans="1:9" ht="19.5" customHeight="1" x14ac:dyDescent="0.25">
      <c r="A29" s="103"/>
      <c r="B29" s="8" t="s">
        <v>30</v>
      </c>
      <c r="C29" s="33"/>
      <c r="E29" s="103"/>
      <c r="F29" s="89" t="s">
        <v>31</v>
      </c>
      <c r="G29" s="89"/>
      <c r="H29" s="89"/>
      <c r="I29" s="89"/>
    </row>
    <row r="30" spans="1:9" ht="19.5" customHeight="1" x14ac:dyDescent="0.25">
      <c r="A30" s="103"/>
      <c r="B30" s="8" t="s">
        <v>32</v>
      </c>
      <c r="C30" s="33"/>
      <c r="E30" s="103"/>
      <c r="F30" s="90"/>
      <c r="G30" s="91"/>
      <c r="H30" s="91"/>
      <c r="I30" s="92"/>
    </row>
    <row r="31" spans="1:9" ht="19.5" customHeight="1" x14ac:dyDescent="0.25">
      <c r="A31" s="103"/>
      <c r="B31" s="8" t="s">
        <v>33</v>
      </c>
      <c r="C31" s="33"/>
      <c r="E31" s="104"/>
      <c r="F31" s="93"/>
      <c r="G31" s="94"/>
      <c r="H31" s="94"/>
      <c r="I31" s="95"/>
    </row>
    <row r="32" spans="1:9" ht="19.5" customHeight="1" x14ac:dyDescent="0.25">
      <c r="A32" s="104"/>
      <c r="B32" s="8" t="s">
        <v>34</v>
      </c>
      <c r="C32" s="33"/>
    </row>
    <row r="33" spans="1:9" ht="15" thickBot="1" x14ac:dyDescent="0.3"/>
    <row r="34" spans="1:9" ht="14.25" customHeight="1" x14ac:dyDescent="0.25">
      <c r="A34" s="96" t="s">
        <v>35</v>
      </c>
      <c r="B34" s="97"/>
      <c r="C34" s="97"/>
      <c r="D34" s="97"/>
      <c r="E34" s="97"/>
      <c r="F34" s="97"/>
      <c r="G34" s="97"/>
      <c r="H34" s="97"/>
      <c r="I34" s="98"/>
    </row>
    <row r="35" spans="1:9" ht="14.25" customHeight="1" thickBot="1" x14ac:dyDescent="0.3">
      <c r="A35" s="99"/>
      <c r="B35" s="100"/>
      <c r="C35" s="100"/>
      <c r="D35" s="100"/>
      <c r="E35" s="100"/>
      <c r="F35" s="100"/>
      <c r="G35" s="100"/>
      <c r="H35" s="100"/>
      <c r="I35" s="101"/>
    </row>
    <row r="36" spans="1:9" ht="39" customHeight="1" x14ac:dyDescent="0.25">
      <c r="A36" s="83" t="s">
        <v>36</v>
      </c>
      <c r="B36" s="84"/>
      <c r="C36" s="84"/>
      <c r="D36" s="84"/>
      <c r="E36" s="84"/>
      <c r="F36" s="84"/>
      <c r="G36" s="84"/>
      <c r="H36" s="84"/>
      <c r="I36" s="85"/>
    </row>
    <row r="37" spans="1:9" ht="42" customHeight="1" thickBot="1" x14ac:dyDescent="0.3">
      <c r="A37" s="86"/>
      <c r="B37" s="87"/>
      <c r="C37" s="87"/>
      <c r="D37" s="87"/>
      <c r="E37" s="87"/>
      <c r="F37" s="87"/>
      <c r="G37" s="87"/>
      <c r="H37" s="87"/>
      <c r="I37" s="88"/>
    </row>
    <row r="38" spans="1:9" x14ac:dyDescent="0.25">
      <c r="I38" s="16" t="s">
        <v>37</v>
      </c>
    </row>
    <row r="39" spans="1:9" x14ac:dyDescent="0.25">
      <c r="I39" s="16" t="s">
        <v>38</v>
      </c>
    </row>
    <row r="40" spans="1:9" ht="26.25" customHeight="1" x14ac:dyDescent="0.25"/>
    <row r="41" spans="1:9" ht="26.25" customHeight="1" x14ac:dyDescent="0.25"/>
    <row r="42" spans="1:9" ht="26.25" customHeight="1" x14ac:dyDescent="0.25"/>
    <row r="43" spans="1:9" ht="26.25" customHeight="1" x14ac:dyDescent="0.25"/>
    <row r="44" spans="1:9" ht="26.25" customHeight="1" x14ac:dyDescent="0.25"/>
    <row r="45" spans="1:9" ht="26.25" customHeight="1" x14ac:dyDescent="0.25"/>
    <row r="46" spans="1:9" ht="26.25" customHeight="1" x14ac:dyDescent="0.25"/>
    <row r="47" spans="1:9" ht="26.25" customHeight="1" x14ac:dyDescent="0.25"/>
  </sheetData>
  <mergeCells count="38">
    <mergeCell ref="A36:I37"/>
    <mergeCell ref="F29:I29"/>
    <mergeCell ref="F27:I28"/>
    <mergeCell ref="F30:I31"/>
    <mergeCell ref="A34:I35"/>
    <mergeCell ref="E27:E31"/>
    <mergeCell ref="A26:A32"/>
    <mergeCell ref="F26:I26"/>
    <mergeCell ref="B11:C11"/>
    <mergeCell ref="B12:C12"/>
    <mergeCell ref="B13:C13"/>
    <mergeCell ref="B26:C26"/>
    <mergeCell ref="A25:I25"/>
    <mergeCell ref="F16:I16"/>
    <mergeCell ref="F18:I18"/>
    <mergeCell ref="F19:I19"/>
    <mergeCell ref="F20:I20"/>
    <mergeCell ref="F17:I17"/>
    <mergeCell ref="F21:I21"/>
    <mergeCell ref="F22:I22"/>
    <mergeCell ref="F23:I23"/>
    <mergeCell ref="F24:I24"/>
    <mergeCell ref="C2:I3"/>
    <mergeCell ref="A15:I15"/>
    <mergeCell ref="A9:C9"/>
    <mergeCell ref="D9:F9"/>
    <mergeCell ref="E10:F10"/>
    <mergeCell ref="A5:I5"/>
    <mergeCell ref="G7:H7"/>
    <mergeCell ref="G9:I9"/>
    <mergeCell ref="H10:I10"/>
    <mergeCell ref="H13:I13"/>
    <mergeCell ref="E11:F11"/>
    <mergeCell ref="E12:F12"/>
    <mergeCell ref="E13:F13"/>
    <mergeCell ref="H11:I11"/>
    <mergeCell ref="H12:I12"/>
    <mergeCell ref="B10:C10"/>
  </mergeCells>
  <printOptions horizontalCentered="1" verticalCentered="1"/>
  <pageMargins left="0.11811023622047245" right="0.11811023622047245" top="0.15748031496062992" bottom="0.15748031496062992" header="0.31496062992125984" footer="0.31496062992125984"/>
  <pageSetup scale="66"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4E123-2414-4CE2-BE1C-EA15BEC59D27}">
  <sheetPr codeName="Hoja2"/>
  <dimension ref="A1:D29"/>
  <sheetViews>
    <sheetView view="pageBreakPreview" topLeftCell="A12" zoomScale="140" zoomScaleNormal="100" zoomScaleSheetLayoutView="140" workbookViewId="0">
      <selection activeCell="F12" sqref="F12"/>
    </sheetView>
  </sheetViews>
  <sheetFormatPr baseColWidth="10" defaultColWidth="11.42578125" defaultRowHeight="15" x14ac:dyDescent="0.25"/>
  <cols>
    <col min="1" max="1" width="1.85546875" customWidth="1"/>
    <col min="2" max="2" width="52.7109375" customWidth="1"/>
    <col min="3" max="3" width="3" customWidth="1"/>
    <col min="4" max="4" width="52.7109375" customWidth="1"/>
  </cols>
  <sheetData>
    <row r="1" spans="1:4" ht="12" customHeight="1" x14ac:dyDescent="0.25"/>
    <row r="2" spans="1:4" x14ac:dyDescent="0.25">
      <c r="B2" s="107" t="s">
        <v>39</v>
      </c>
      <c r="C2" s="107"/>
      <c r="D2" s="107"/>
    </row>
    <row r="3" spans="1:4" x14ac:dyDescent="0.25">
      <c r="B3" s="107" t="s">
        <v>40</v>
      </c>
      <c r="C3" s="107"/>
      <c r="D3" s="107"/>
    </row>
    <row r="4" spans="1:4" x14ac:dyDescent="0.25">
      <c r="B4" s="107" t="s">
        <v>41</v>
      </c>
      <c r="C4" s="107"/>
      <c r="D4" s="107"/>
    </row>
    <row r="5" spans="1:4" ht="95.25" customHeight="1" x14ac:dyDescent="0.25">
      <c r="B5" s="31" t="str">
        <f>"Entre " &amp; 'Entrega_Dev disp'!E10 &amp; _xlfn._LONGTEXT(" identificado como aparece al pie de su firma, quien obra en su propio nombre, de una parte y que para los efectos de este convenio se denominará EL TRABAJADOR, y CASTILLO FIELD WILLIAM ENRIQUE identificado como aparece al pie de su firma, obrando en cali","dad de CARGO JEFE DE MICROINFORMATICA Y SERVICIOS de la sociedad AIR-E Air-e S.A.S E.S.P Intervenida, de ahora en adelante Air-e; hemos acordado, las siguientes cláusulas:")</f>
        <v>Entre OMAR ANDRES CADENA ANIBAL  identificado como aparece al pie de su firma, quien obra en su propio nombre, de una parte y que para los efectos de este convenio se denominará EL TRABAJADOR, y CASTILLO FIELD WILLIAM ENRIQUE identificado como aparece al pie de su firma, obrando en calidad de CARGO JEFE DE MICROINFORMATICA Y SERVICIOS de la sociedad AIR-E Air-e S.A.S E.S.P Intervenida, de ahora en adelante Air-e; hemos acordado, las siguientes cláusulas:</v>
      </c>
      <c r="D5" s="25" t="str">
        <f>"1.        El TRABAJADOR, Se obliga a usar las herramientas de trabajo mencionadas en la cláusula primera para el desarrollo de los servicios prestados en el cargo de " &amp; 'Entrega_Dev disp'!E12 &amp; " y en las labores que le sean conexas o complementarias so pena de incurrir en el uso indebido de la herramienta de trabajo en caso de darle una destinación o uso diferente."</f>
        <v>1.        El TRABAJADOR, Se obliga a usar las herramientas de trabajo mencionadas en la cláusula primera para el desarrollo de los servicios prestados en el cargo de TECNICO JUNIOR DESARROLLO DE INVENTARIOS y en las labores que le sean conexas o complementarias so pena de incurrir en el uso indebido de la herramienta de trabajo en caso de darle una destinación o uso diferente.</v>
      </c>
    </row>
    <row r="6" spans="1:4" ht="87.75" customHeight="1" x14ac:dyDescent="0.25">
      <c r="B6" s="25" t="str">
        <f>"CLAUSULA PRIMERA: AIR-E Air-e S.A.S E.S.P Intervenida, de ahora en adelante Air-e, atendiendo su estructura organizativa considera que para la ejecución del cargo "
&amp; 'Entrega_Dev disp'!E12
&amp; " del cual en la actualidad es titular EL TRABAJADOR, se hace necesario el suministro de los siguientes activos informáticos propiedad de la compañía: "
&amp; IF('Entrega_Dev disp'!F17 = "ASIGNACION", 'Entrega_Dev disp'!A17, "") &amp; " "
&amp; IF('Entrega_Dev disp'!F18 = "ASIGNACION", 'Entrega_Dev disp'!A18, "") &amp; " "
&amp; IF('Entrega_Dev disp'!F19 = "ASIGNACION", 'Entrega_Dev disp'!A19, "") &amp; " "
&amp; IF('Entrega_Dev disp'!F20 = "ASIGNACION", 'Entrega_Dev disp'!A20, "") &amp; " "
&amp; IF('Entrega_Dev disp'!F21 = "ASIGNACION", 'Entrega_Dev disp'!A21, "") &amp; " "
&amp; IF('Entrega_Dev disp'!F22 = "ASIGNACION", 'Entrega_Dev disp'!A22, "") &amp; " "
&amp; IF('Entrega_Dev disp'!F26 = "ASIGNACION", 'Entrega_Dev disp'!A26, "") &amp; " "</f>
        <v xml:space="preserve">CLAUSULA PRIMERA: AIR-E Air-e S.A.S E.S.P Intervenida, de ahora en adelante Air-e, atendiendo su estructura organizativa considera que para la ejecución del cargo TECNICO JUNIOR DESARROLLO DE INVENTARIOS del cual en la actualidad es titular EL TRABAJADOR, se hace necesario el suministro de los siguientes activos informáticos propiedad de la compañía: TECLADO MOUSE      </v>
      </c>
      <c r="D6" s="108" t="s">
        <v>42</v>
      </c>
    </row>
    <row r="7" spans="1:4" ht="74.25" customHeight="1" x14ac:dyDescent="0.25">
      <c r="B7" s="108" t="s">
        <v>63</v>
      </c>
      <c r="D7" s="108"/>
    </row>
    <row r="8" spans="1:4" ht="74.25" customHeight="1" x14ac:dyDescent="0.25">
      <c r="B8" s="108"/>
      <c r="D8" s="108"/>
    </row>
    <row r="9" spans="1:4" ht="74.25" customHeight="1" x14ac:dyDescent="0.25">
      <c r="B9" s="108"/>
      <c r="D9" s="108"/>
    </row>
    <row r="10" spans="1:4" ht="74.25" customHeight="1" x14ac:dyDescent="0.25">
      <c r="B10" s="108"/>
      <c r="D10" s="108"/>
    </row>
    <row r="11" spans="1:4" ht="103.5" customHeight="1" x14ac:dyDescent="0.25">
      <c r="B11" s="108"/>
      <c r="D11" s="108"/>
    </row>
    <row r="12" spans="1:4" ht="126.75" customHeight="1" x14ac:dyDescent="0.25">
      <c r="B12" s="108"/>
      <c r="D12" s="108" t="str">
        <f ca="1">"En señal de aprobación y consentimiento se suscribe este documento el día ("
&amp; TEXT('Entrega_Dev disp'!E27,"dd")
&amp; ") de ("
&amp; UPPER(TEXT('Entrega_Dev disp'!E27,"mmmm"))
&amp; ") de ("
&amp; TEXT('Entrega_Dev disp'!E27,"yyyy")
&amp; ") en la ciudad de Barranquilla.
________________________________________
POR LA EMPRESA EMPLEADORA
NOMBRE
CC
________________________________________
EL EMPLEADO
CC"</f>
        <v>En señal de aprobación y consentimiento se suscribe este documento el día (25) de (MAYO) de (2026) en la ciudad de Barranquilla.
________________________________________
POR LA EMPRESA EMPLEADORA
NOMBRE
CC
________________________________________
EL EMPLEADO
CC</v>
      </c>
    </row>
    <row r="13" spans="1:4" ht="135" customHeight="1" x14ac:dyDescent="0.25">
      <c r="A13" s="30" t="s">
        <v>43</v>
      </c>
      <c r="B13" s="108"/>
      <c r="D13" s="108"/>
    </row>
    <row r="14" spans="1:4" x14ac:dyDescent="0.25">
      <c r="B14" s="29"/>
      <c r="C14" s="16"/>
      <c r="D14" s="16"/>
    </row>
    <row r="15" spans="1:4" ht="16.5" customHeight="1" x14ac:dyDescent="0.25">
      <c r="B15" s="26"/>
      <c r="D15" s="16"/>
    </row>
    <row r="16" spans="1:4" x14ac:dyDescent="0.25">
      <c r="B16" s="26"/>
      <c r="D16" s="25"/>
    </row>
    <row r="17" spans="2:4" x14ac:dyDescent="0.25">
      <c r="B17" s="27"/>
      <c r="D17" s="25"/>
    </row>
    <row r="18" spans="2:4" x14ac:dyDescent="0.25">
      <c r="B18" s="25"/>
      <c r="D18" s="25"/>
    </row>
    <row r="19" spans="2:4" x14ac:dyDescent="0.25">
      <c r="B19" s="25"/>
      <c r="D19" s="25"/>
    </row>
    <row r="20" spans="2:4" x14ac:dyDescent="0.25">
      <c r="B20" s="26"/>
      <c r="D20" s="25"/>
    </row>
    <row r="21" spans="2:4" x14ac:dyDescent="0.25">
      <c r="B21" s="26"/>
      <c r="D21" s="25"/>
    </row>
    <row r="22" spans="2:4" x14ac:dyDescent="0.25">
      <c r="D22" s="25"/>
    </row>
    <row r="23" spans="2:4" x14ac:dyDescent="0.25">
      <c r="D23" s="25"/>
    </row>
    <row r="24" spans="2:4" x14ac:dyDescent="0.25">
      <c r="D24" s="25"/>
    </row>
    <row r="25" spans="2:4" x14ac:dyDescent="0.25">
      <c r="D25" s="28"/>
    </row>
    <row r="28" spans="2:4" ht="84" customHeight="1" x14ac:dyDescent="0.25"/>
    <row r="29" spans="2:4" ht="31.5" customHeight="1" x14ac:dyDescent="0.25"/>
  </sheetData>
  <mergeCells count="6">
    <mergeCell ref="B2:D2"/>
    <mergeCell ref="D6:D11"/>
    <mergeCell ref="B7:B13"/>
    <mergeCell ref="D12:D13"/>
    <mergeCell ref="B4:D4"/>
    <mergeCell ref="B3:D3"/>
  </mergeCells>
  <phoneticPr fontId="17" type="noConversion"/>
  <printOptions horizontalCentered="1" verticalCentered="1"/>
  <pageMargins left="0.51181102362204722" right="0.51181102362204722" top="0.55118110236220474" bottom="0.55118110236220474" header="0.31496062992125984" footer="0.31496062992125984"/>
  <pageSetup scale="8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AB821-71CA-4D06-8DF5-F6BF1191E7A9}">
  <sheetPr codeName="Hoja4"/>
  <dimension ref="B1:O30"/>
  <sheetViews>
    <sheetView topLeftCell="A9" workbookViewId="0">
      <selection activeCell="I10" sqref="I10"/>
    </sheetView>
  </sheetViews>
  <sheetFormatPr baseColWidth="10" defaultColWidth="11.42578125" defaultRowHeight="15" x14ac:dyDescent="0.25"/>
  <cols>
    <col min="1" max="1" width="4" customWidth="1"/>
    <col min="2" max="2" width="16.7109375" customWidth="1"/>
    <col min="8" max="8" width="15.42578125" customWidth="1"/>
    <col min="15" max="15" width="72.85546875" customWidth="1"/>
  </cols>
  <sheetData>
    <row r="1" spans="2:13" ht="22.5" customHeight="1" x14ac:dyDescent="0.25">
      <c r="B1" s="109" t="s">
        <v>45</v>
      </c>
      <c r="C1" s="109"/>
      <c r="D1" s="109"/>
      <c r="E1" s="109"/>
      <c r="F1" s="109"/>
      <c r="G1" s="109"/>
      <c r="H1" s="109"/>
      <c r="I1" s="109"/>
      <c r="J1" s="109"/>
      <c r="K1" s="109"/>
      <c r="L1" s="109"/>
      <c r="M1" s="109"/>
    </row>
    <row r="2" spans="2:13" ht="15.75" thickBot="1" x14ac:dyDescent="0.3"/>
    <row r="3" spans="2:13" ht="15.75" thickBot="1" x14ac:dyDescent="0.3">
      <c r="B3" s="110" t="s">
        <v>46</v>
      </c>
      <c r="C3" s="111"/>
      <c r="D3" s="111"/>
      <c r="E3" s="111"/>
      <c r="F3" s="111"/>
      <c r="G3" s="111"/>
      <c r="H3" s="111"/>
      <c r="I3" s="111"/>
      <c r="J3" s="111"/>
      <c r="K3" s="111"/>
      <c r="L3" s="111"/>
      <c r="M3" s="112"/>
    </row>
    <row r="4" spans="2:13" x14ac:dyDescent="0.25">
      <c r="B4" s="17"/>
      <c r="C4" s="17"/>
      <c r="D4" s="17"/>
      <c r="E4" s="17"/>
      <c r="F4" s="17"/>
      <c r="G4" s="17"/>
      <c r="H4" s="17"/>
      <c r="I4" s="17"/>
      <c r="J4" s="17"/>
      <c r="K4" s="17"/>
      <c r="L4" s="17"/>
      <c r="M4" s="18"/>
    </row>
    <row r="5" spans="2:13" x14ac:dyDescent="0.25">
      <c r="B5" s="19" t="s">
        <v>47</v>
      </c>
      <c r="C5" s="113" t="s">
        <v>48</v>
      </c>
      <c r="D5" s="113"/>
      <c r="E5" s="113" t="s">
        <v>49</v>
      </c>
      <c r="F5" s="113"/>
      <c r="G5" s="113"/>
      <c r="H5" s="113"/>
      <c r="I5" s="113"/>
      <c r="J5" s="113"/>
      <c r="K5" s="113"/>
      <c r="L5" s="113"/>
      <c r="M5" s="113"/>
    </row>
    <row r="6" spans="2:13" x14ac:dyDescent="0.25">
      <c r="B6" s="20">
        <v>1</v>
      </c>
      <c r="C6" s="114">
        <v>44539</v>
      </c>
      <c r="D6" s="114"/>
      <c r="E6" s="115" t="s">
        <v>50</v>
      </c>
      <c r="F6" s="115"/>
      <c r="G6" s="115"/>
      <c r="H6" s="115"/>
      <c r="I6" s="115"/>
      <c r="J6" s="115"/>
      <c r="K6" s="115"/>
      <c r="L6" s="115"/>
      <c r="M6" s="115"/>
    </row>
    <row r="7" spans="2:13" x14ac:dyDescent="0.25">
      <c r="B7" s="20">
        <v>2</v>
      </c>
      <c r="C7" s="114">
        <v>44685</v>
      </c>
      <c r="D7" s="114"/>
      <c r="E7" s="116" t="s">
        <v>51</v>
      </c>
      <c r="F7" s="116"/>
      <c r="G7" s="116"/>
      <c r="H7" s="116"/>
      <c r="I7" s="116"/>
      <c r="J7" s="116"/>
      <c r="K7" s="116"/>
      <c r="L7" s="116"/>
      <c r="M7" s="116"/>
    </row>
    <row r="8" spans="2:13" x14ac:dyDescent="0.25">
      <c r="B8" s="20"/>
      <c r="C8" s="114"/>
      <c r="D8" s="114"/>
      <c r="E8" s="116"/>
      <c r="F8" s="116"/>
      <c r="G8" s="116"/>
      <c r="H8" s="116"/>
      <c r="I8" s="116"/>
      <c r="J8" s="116"/>
      <c r="K8" s="116"/>
      <c r="L8" s="116"/>
      <c r="M8" s="116"/>
    </row>
    <row r="9" spans="2:13" x14ac:dyDescent="0.25">
      <c r="B9" s="18"/>
      <c r="C9" s="18"/>
      <c r="D9" s="18"/>
      <c r="E9" s="18"/>
      <c r="F9" s="18"/>
      <c r="G9" s="18"/>
      <c r="H9" s="18"/>
      <c r="I9" s="18"/>
      <c r="J9" s="18"/>
      <c r="K9" s="18"/>
      <c r="L9" s="18"/>
      <c r="M9" s="18"/>
    </row>
    <row r="10" spans="2:13" ht="27.75" customHeight="1" x14ac:dyDescent="0.25">
      <c r="B10" s="117" t="s">
        <v>52</v>
      </c>
      <c r="C10" s="129"/>
      <c r="D10" s="130"/>
      <c r="E10" s="130"/>
      <c r="F10" s="130"/>
      <c r="G10" s="131"/>
      <c r="H10" s="117" t="s">
        <v>53</v>
      </c>
      <c r="I10" s="21"/>
      <c r="J10" s="22"/>
      <c r="K10" s="22"/>
      <c r="L10" s="22"/>
      <c r="M10" s="23"/>
    </row>
    <row r="11" spans="2:13" x14ac:dyDescent="0.25">
      <c r="B11" s="118"/>
      <c r="C11" s="132"/>
      <c r="D11" s="133"/>
      <c r="E11" s="133"/>
      <c r="F11" s="133"/>
      <c r="G11" s="134"/>
      <c r="H11" s="118"/>
      <c r="I11" s="126" t="s">
        <v>54</v>
      </c>
      <c r="J11" s="127"/>
      <c r="K11" s="127"/>
      <c r="L11" s="127"/>
      <c r="M11" s="128"/>
    </row>
    <row r="12" spans="2:13" x14ac:dyDescent="0.25">
      <c r="B12" s="118"/>
      <c r="C12" s="132"/>
      <c r="D12" s="133"/>
      <c r="E12" s="133"/>
      <c r="F12" s="133"/>
      <c r="G12" s="134"/>
      <c r="H12" s="118"/>
      <c r="I12" s="120" t="s">
        <v>55</v>
      </c>
      <c r="J12" s="121"/>
      <c r="K12" s="121"/>
      <c r="L12" s="121"/>
      <c r="M12" s="122"/>
    </row>
    <row r="13" spans="2:13" ht="23.25" customHeight="1" x14ac:dyDescent="0.25">
      <c r="B13" s="118"/>
      <c r="C13" s="123"/>
      <c r="D13" s="124"/>
      <c r="E13" s="124"/>
      <c r="F13" s="124"/>
      <c r="G13" s="125"/>
      <c r="H13" s="118"/>
      <c r="I13" s="123"/>
      <c r="J13" s="124"/>
      <c r="K13" s="124"/>
      <c r="L13" s="124"/>
      <c r="M13" s="125"/>
    </row>
    <row r="14" spans="2:13" ht="15.75" customHeight="1" x14ac:dyDescent="0.25">
      <c r="B14" s="118"/>
      <c r="C14" s="126" t="s">
        <v>56</v>
      </c>
      <c r="D14" s="127"/>
      <c r="E14" s="127"/>
      <c r="F14" s="127"/>
      <c r="G14" s="128"/>
      <c r="H14" s="118"/>
      <c r="I14" s="126" t="s">
        <v>57</v>
      </c>
      <c r="J14" s="127"/>
      <c r="K14" s="127"/>
      <c r="L14" s="127"/>
      <c r="M14" s="128"/>
    </row>
    <row r="15" spans="2:13" ht="15.75" customHeight="1" x14ac:dyDescent="0.25">
      <c r="B15" s="119"/>
      <c r="C15" s="120" t="s">
        <v>58</v>
      </c>
      <c r="D15" s="121"/>
      <c r="E15" s="121"/>
      <c r="F15" s="121"/>
      <c r="G15" s="122"/>
      <c r="H15" s="119"/>
      <c r="I15" s="120" t="s">
        <v>59</v>
      </c>
      <c r="J15" s="121"/>
      <c r="K15" s="121"/>
      <c r="L15" s="121"/>
      <c r="M15" s="122"/>
    </row>
    <row r="17" spans="15:15" x14ac:dyDescent="0.25">
      <c r="O17" s="24"/>
    </row>
    <row r="18" spans="15:15" x14ac:dyDescent="0.25">
      <c r="O18" s="24"/>
    </row>
    <row r="19" spans="15:15" x14ac:dyDescent="0.25">
      <c r="O19" s="24"/>
    </row>
    <row r="20" spans="15:15" x14ac:dyDescent="0.25">
      <c r="O20" s="25"/>
    </row>
    <row r="21" spans="15:15" ht="80.25" customHeight="1" x14ac:dyDescent="0.25">
      <c r="O21" s="25"/>
    </row>
    <row r="22" spans="15:15" ht="45" customHeight="1" x14ac:dyDescent="0.25">
      <c r="O22" s="26"/>
    </row>
    <row r="23" spans="15:15" ht="129" customHeight="1" x14ac:dyDescent="0.25">
      <c r="O23" s="26"/>
    </row>
    <row r="24" spans="15:15" x14ac:dyDescent="0.25">
      <c r="O24" s="26"/>
    </row>
    <row r="25" spans="15:15" x14ac:dyDescent="0.25">
      <c r="O25" s="26"/>
    </row>
    <row r="26" spans="15:15" x14ac:dyDescent="0.25">
      <c r="O26" s="27"/>
    </row>
    <row r="27" spans="15:15" ht="44.25" customHeight="1" x14ac:dyDescent="0.25">
      <c r="O27" s="25"/>
    </row>
    <row r="28" spans="15:15" ht="100.5" customHeight="1" x14ac:dyDescent="0.25">
      <c r="O28" s="26"/>
    </row>
    <row r="29" spans="15:15" ht="45.75" customHeight="1" x14ac:dyDescent="0.25">
      <c r="O29" s="26"/>
    </row>
    <row r="30" spans="15:15" x14ac:dyDescent="0.25">
      <c r="O30" s="25"/>
    </row>
  </sheetData>
  <mergeCells count="20">
    <mergeCell ref="C7:D7"/>
    <mergeCell ref="E7:M7"/>
    <mergeCell ref="C8:D8"/>
    <mergeCell ref="E8:M8"/>
    <mergeCell ref="B10:B15"/>
    <mergeCell ref="H10:H15"/>
    <mergeCell ref="I12:M12"/>
    <mergeCell ref="I13:M13"/>
    <mergeCell ref="C14:G14"/>
    <mergeCell ref="I14:M14"/>
    <mergeCell ref="C15:G15"/>
    <mergeCell ref="I15:M15"/>
    <mergeCell ref="I11:M11"/>
    <mergeCell ref="C10:G13"/>
    <mergeCell ref="B1:M1"/>
    <mergeCell ref="B3:M3"/>
    <mergeCell ref="C5:D5"/>
    <mergeCell ref="E5:M5"/>
    <mergeCell ref="C6:D6"/>
    <mergeCell ref="E6:M6"/>
  </mergeCells>
  <pageMargins left="0.70866141732283472" right="0.70866141732283472" top="0.74803149606299213" bottom="0.74803149606299213" header="0.31496062992125984" footer="0.31496062992125984"/>
  <pageSetup orientation="portrait" r:id="rId1"/>
  <headerFooter>
    <oddFooter>&amp;RGT.TT.PR.05-FO.01
ED 01</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1D667D261FE5B47A3214FFC9A1258B0" ma:contentTypeVersion="18" ma:contentTypeDescription="Crear nuevo documento." ma:contentTypeScope="" ma:versionID="b202a4a5b0a167a3f3cce5d6f5493fad">
  <xsd:schema xmlns:xsd="http://www.w3.org/2001/XMLSchema" xmlns:xs="http://www.w3.org/2001/XMLSchema" xmlns:p="http://schemas.microsoft.com/office/2006/metadata/properties" xmlns:ns2="8f67f71b-627e-4b8d-aa8f-afed5b9d2001" xmlns:ns3="52c7c807-5a78-4b37-8efb-a2397818bdce" targetNamespace="http://schemas.microsoft.com/office/2006/metadata/properties" ma:root="true" ma:fieldsID="97300782da578ddbab240914bfb59095" ns2:_="" ns3:_="">
    <xsd:import namespace="8f67f71b-627e-4b8d-aa8f-afed5b9d2001"/>
    <xsd:import namespace="52c7c807-5a78-4b37-8efb-a2397818bdc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LengthInSeconds" minOccurs="0"/>
                <xsd:element ref="ns2:lcf76f155ced4ddcb4097134ff3c332f" minOccurs="0"/>
                <xsd:element ref="ns3:TaxCatchAll" minOccurs="0"/>
                <xsd:element ref="ns2:MediaServiceDateTaken" minOccurs="0"/>
                <xsd:element ref="ns3:SharedWithUsers" minOccurs="0"/>
                <xsd:element ref="ns3:SharedWithDetail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67f71b-627e-4b8d-aa8f-afed5b9d20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3d9153cb-5e0d-4a18-8643-2c0d57c996dd"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2c7c807-5a78-4b37-8efb-a2397818bdce"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b7feca34-5211-4e07-8699-797b015542df}" ma:internalName="TaxCatchAll" ma:showField="CatchAllData" ma:web="52c7c807-5a78-4b37-8efb-a2397818bdce">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2c7c807-5a78-4b37-8efb-a2397818bdce" xsi:nil="true"/>
    <lcf76f155ced4ddcb4097134ff3c332f xmlns="8f67f71b-627e-4b8d-aa8f-afed5b9d200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FDDD7E9-DBE1-4FD4-A5CC-7B1FC44732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67f71b-627e-4b8d-aa8f-afed5b9d2001"/>
    <ds:schemaRef ds:uri="52c7c807-5a78-4b37-8efb-a2397818bd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B0A565F-C119-4890-98D3-03A0A2A7ADE2}">
  <ds:schemaRefs>
    <ds:schemaRef ds:uri="http://schemas.microsoft.com/sharepoint/v3/contenttype/forms"/>
  </ds:schemaRefs>
</ds:datastoreItem>
</file>

<file path=customXml/itemProps3.xml><?xml version="1.0" encoding="utf-8"?>
<ds:datastoreItem xmlns:ds="http://schemas.openxmlformats.org/officeDocument/2006/customXml" ds:itemID="{E7952018-AAAD-451A-B03F-0393EF1DB21D}">
  <ds:schemaRefs>
    <ds:schemaRef ds:uri="http://schemas.microsoft.com/office/2006/metadata/properties"/>
    <ds:schemaRef ds:uri="http://schemas.microsoft.com/office/infopath/2007/PartnerControls"/>
    <ds:schemaRef ds:uri="52c7c807-5a78-4b37-8efb-a2397818bdce"/>
    <ds:schemaRef ds:uri="8f67f71b-627e-4b8d-aa8f-afed5b9d200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Entrega_Dev disp</vt:lpstr>
      <vt:lpstr>Clausulas</vt:lpstr>
      <vt:lpstr>Control de cambios</vt:lpstr>
      <vt:lpstr>Clausulas!Área_de_impresión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Martha Luz Viana Anillo</dc:creator>
  <cp:keywords/>
  <dc:description/>
  <cp:lastModifiedBy>Aprendiz Estrategia Y Arquitectura De Tecnologia 5</cp:lastModifiedBy>
  <cp:revision/>
  <cp:lastPrinted>2026-05-11T20:32:25Z</cp:lastPrinted>
  <dcterms:created xsi:type="dcterms:W3CDTF">2015-06-05T18:19:34Z</dcterms:created>
  <dcterms:modified xsi:type="dcterms:W3CDTF">2026-05-25T13:34:56Z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0x010100E1D667D261FE5B47A3214FFC9A1258B0</vt:lpwstr>
  </property>
  <property fmtid="{D5CDD505-2E9C-101B-9397-08002B2CF9AE}" pid="3" name="MediaServiceImageTags">
    <vt:lpwstr/>
  </property>
</Properties>
</file>